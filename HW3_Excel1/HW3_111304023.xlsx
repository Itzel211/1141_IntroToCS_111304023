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DDCC69-4804-47D1-A823-C39C3489A857}" xr6:coauthVersionLast="47" xr6:coauthVersionMax="47" xr10:uidLastSave="{00000000-0000-0000-0000-000000000000}"/>
  <bookViews>
    <workbookView xWindow="-98" yWindow="-98" windowWidth="21795" windowHeight="12975" xr2:uid="{60C2E2F6-AD98-4042-9BF5-DA3DB7B4AD4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7" i="1" l="1"/>
  <c r="M17" i="1"/>
  <c r="H17" i="1"/>
  <c r="D17" i="1"/>
  <c r="C17" i="1"/>
  <c r="J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<sst xmlns="http://schemas.openxmlformats.org/spreadsheetml/2006/main" count="34" uniqueCount="34">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</sst>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4D6D-A8D4-AB6B10DFF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09600"/>
        <c:axId val="134315008"/>
      </c:barChart>
      <c:catAx>
        <c:axId val="1343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315008"/>
        <c:crosses val="autoZero"/>
        <c:auto val="1"/>
        <c:lblAlgn val="ctr"/>
        <c:lblOffset val="100"/>
        <c:noMultiLvlLbl val="0"/>
      </c:catAx>
      <c:valAx>
        <c:axId val="1343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30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circle chart 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B-481F-A593-47411AAF44CD}"/>
              </c:ext>
            </c:extLst>
          </c:dPt>
          <c:dPt>
            <c:idx val="1"/>
            <c:bubble3D val="0"/>
            <c:spPr>
              <a:solidFill>
                <a:srgbClr val="FF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33B-481F-A593-47411AAF44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工作表1!$M$16:$N$16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工作表1!$M$17:$N$17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B-481F-A593-47411AAF44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317880275804435"/>
          <c:y val="0.86462703698642518"/>
          <c:w val="0.3380068236303253"/>
          <c:h val="0.11724778439315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295274</xdr:colOff>
      <xdr:row>24</xdr:row>
      <xdr:rowOff>11906</xdr:rowOff>
    </xdr:from>
    <xdr:to>
      <xdr:col>11</xdr:col>
      <xdr:colOff>4761</xdr:colOff>
      <xdr:row>37</xdr:row>
      <xdr:rowOff>92868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53AC113-BC51-4947-94DA-F36895695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14287</xdr:colOff>
      <xdr:row>17</xdr:row>
      <xdr:rowOff>2380</xdr:rowOff>
    </xdr:from>
    <xdr:to>
      <xdr:col>13</xdr:col>
      <xdr:colOff>633413</xdr:colOff>
      <xdr:row>30</xdr:row>
      <xdr:rowOff>142874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808BBE2-B3E8-4169-86E4-9A4DCA225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topLeftCell="B4" workbookViewId="0">
      <selection activeCell="O31" sqref="O31"/>
    </sheetView>
  </sheetViews>
  <sheetFormatPr defaultRowHeight="16.149999999999999"/>
  <cols>
    <col min="3" max="4" width="13" bestFit="1" customWidth="1"/>
    <col min="8" max="8" width="18.6640625" bestFit="1" customWidth="1"/>
    <col min="10" max="10" width="16.1328125" bestFit="1" customWidth="1"/>
    <col min="11" max="11" width="24.19921875" customWidth="1"/>
    <col min="12" max="12" width="23" customWidth="1"/>
  </cols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4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5">
        <f>H2*0.5+I2*0.5</f>
        <v>91.7</v>
      </c>
      <c r="K2" s="5" t="str">
        <f>_xlfn.IFS(J2&gt;=90,"A",J2&gt;=80,"B",J2&gt;=70,"C",J2&gt;=60,"D",J2&lt;60,"F")</f>
        <v>A</v>
      </c>
      <c r="L2" s="5" t="str">
        <f>IF(J2&gt;=60,"pass","fail")</f>
        <v>pass</v>
      </c>
    </row>
    <row r="3" spans="1:14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5">
        <f t="shared" ref="J3:J15" si="1">H3*0.5+I3*0.5</f>
        <v>90</v>
      </c>
      <c r="K3" s="5" t="str">
        <f t="shared" ref="K3:K15" si="2">_xlfn.IFS(J3&gt;=90,"A",J3&gt;=80,"B",J3&gt;=70,"C",J3&gt;=60,"D",J3&lt;60,"F")</f>
        <v>A</v>
      </c>
      <c r="L3" s="5" t="str">
        <f t="shared" ref="L3:L15" si="3">IF(J3&gt;=60,"pass","fail")</f>
        <v>pass</v>
      </c>
    </row>
    <row r="4" spans="1:14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5">
        <f t="shared" si="1"/>
        <v>81.2</v>
      </c>
      <c r="K4" s="5" t="str">
        <f t="shared" si="2"/>
        <v>B</v>
      </c>
      <c r="L4" s="5" t="str">
        <f t="shared" si="3"/>
        <v>pass</v>
      </c>
    </row>
    <row r="5" spans="1:14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5">
        <f t="shared" si="1"/>
        <v>80.8</v>
      </c>
      <c r="K5" s="5" t="str">
        <f t="shared" si="2"/>
        <v>B</v>
      </c>
      <c r="L5" s="5" t="str">
        <f t="shared" si="3"/>
        <v>pass</v>
      </c>
    </row>
    <row r="6" spans="1:14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5">
        <f t="shared" si="1"/>
        <v>84.7</v>
      </c>
      <c r="K6" s="5" t="str">
        <f t="shared" si="2"/>
        <v>B</v>
      </c>
      <c r="L6" s="5" t="str">
        <f t="shared" si="3"/>
        <v>pass</v>
      </c>
    </row>
    <row r="7" spans="1:14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5">
        <f t="shared" si="1"/>
        <v>80.8</v>
      </c>
      <c r="K7" s="5" t="str">
        <f t="shared" si="2"/>
        <v>B</v>
      </c>
      <c r="L7" s="5" t="str">
        <f t="shared" si="3"/>
        <v>pass</v>
      </c>
    </row>
    <row r="8" spans="1:14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5">
        <f t="shared" si="1"/>
        <v>77.900000000000006</v>
      </c>
      <c r="K8" s="5" t="str">
        <f t="shared" si="2"/>
        <v>C</v>
      </c>
      <c r="L8" s="5" t="str">
        <f t="shared" si="3"/>
        <v>pass</v>
      </c>
    </row>
    <row r="9" spans="1:14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5">
        <f t="shared" si="1"/>
        <v>74.2</v>
      </c>
      <c r="K9" s="5" t="str">
        <f t="shared" si="2"/>
        <v>C</v>
      </c>
      <c r="L9" s="5" t="str">
        <f t="shared" si="3"/>
        <v>pass</v>
      </c>
    </row>
    <row r="10" spans="1:14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5">
        <f t="shared" si="1"/>
        <v>75.2</v>
      </c>
      <c r="K10" s="5" t="str">
        <f t="shared" si="2"/>
        <v>C</v>
      </c>
      <c r="L10" s="5" t="str">
        <f t="shared" si="3"/>
        <v>pass</v>
      </c>
    </row>
    <row r="11" spans="1:14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5">
        <f t="shared" si="1"/>
        <v>77.599999999999994</v>
      </c>
      <c r="K11" s="5" t="str">
        <f t="shared" si="2"/>
        <v>C</v>
      </c>
      <c r="L11" s="5" t="str">
        <f t="shared" si="3"/>
        <v>pass</v>
      </c>
    </row>
    <row r="12" spans="1:14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5">
        <f t="shared" si="1"/>
        <v>80.599999999999994</v>
      </c>
      <c r="K12" s="5" t="str">
        <f t="shared" si="2"/>
        <v>B</v>
      </c>
      <c r="L12" s="5" t="str">
        <f t="shared" si="3"/>
        <v>pass</v>
      </c>
    </row>
    <row r="13" spans="1:14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5">
        <f t="shared" si="1"/>
        <v>59</v>
      </c>
      <c r="K13" s="5" t="str">
        <f t="shared" si="2"/>
        <v>F</v>
      </c>
      <c r="L13" s="5" t="str">
        <f t="shared" si="3"/>
        <v>fail</v>
      </c>
    </row>
    <row r="14" spans="1:14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5">
        <f t="shared" si="1"/>
        <v>66.900000000000006</v>
      </c>
      <c r="K14" s="5" t="str">
        <f t="shared" si="2"/>
        <v>D</v>
      </c>
      <c r="L14" s="5" t="str">
        <f t="shared" si="3"/>
        <v>pass</v>
      </c>
    </row>
    <row r="15" spans="1:14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5">
        <f t="shared" si="1"/>
        <v>55.6</v>
      </c>
      <c r="K15" s="5" t="str">
        <f t="shared" si="2"/>
        <v>F</v>
      </c>
      <c r="L15" s="5" t="str">
        <f t="shared" si="3"/>
        <v>fail</v>
      </c>
    </row>
    <row r="16" spans="1:14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  <c r="M16" t="s">
        <v>32</v>
      </c>
      <c r="N16" s="6" t="s">
        <v>33</v>
      </c>
    </row>
    <row r="17" spans="3:14">
      <c r="C17">
        <f>LARGE(C2:C15,1)</f>
        <v>98</v>
      </c>
      <c r="D17">
        <f>LARGE(D2:D15,2)</f>
        <v>92</v>
      </c>
      <c r="H17" s="1">
        <f>COUNTIF(H2:H15,"&lt;80")</f>
        <v>8</v>
      </c>
      <c r="J17" s="5">
        <f>AVERAGE(J2:J15)</f>
        <v>76.871428571428581</v>
      </c>
      <c r="M17">
        <f>COUNTIF($L2:$L15,"pass")</f>
        <v>12</v>
      </c>
      <c r="N17">
        <f>COUNTIF($L2:$L15,"fail")</f>
        <v>2</v>
      </c>
    </row>
    <row r="24" spans="3:14">
      <c r="J24" s="4" t="s">
        <v>30</v>
      </c>
    </row>
  </sheetData>
  <phoneticPr fontId="2" type="noConversion"/>
  <conditionalFormatting sqref="L2:L15">
    <cfRule type="cellIs" dxfId="0" priority="2" operator="equal">
      <formula>"pass"</formula>
    </cfRule>
    <cfRule type="cellIs" dxfId="1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佳恩 詹</cp:lastModifiedBy>
  <dcterms:created xsi:type="dcterms:W3CDTF">2023-10-19T05:27:10Z</dcterms:created>
  <dcterms:modified xsi:type="dcterms:W3CDTF">2025-10-09T09:12:31Z</dcterms:modified>
</cp:coreProperties>
</file>